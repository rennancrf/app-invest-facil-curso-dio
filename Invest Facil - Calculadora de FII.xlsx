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566A1F41-08ED-4996-BF6E-06D98098F7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sumo" sheetId="1" r:id="rId1"/>
    <sheet name="Referencias de busca" sheetId="2" r:id="rId2"/>
  </sheets>
  <definedNames>
    <definedName name="Anos">Resumo!$E$16</definedName>
    <definedName name="Dividendos_Mensais">Resumo!$E$19</definedName>
    <definedName name="Investimento_mensal">Resumo!$E$15</definedName>
    <definedName name="Patrimonio_Acumulado">Resumo!$E$18</definedName>
    <definedName name="Perfil_Investidor">Resumo!$E$29</definedName>
    <definedName name="rendimento_carteira">Resumo!$E$11</definedName>
    <definedName name="Salario">Resumo!$E$10</definedName>
    <definedName name="Sugestao_investimento">Resumo!$E$12</definedName>
    <definedName name="Taxa_rendimento_mensal">Resumo!$E$17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" i="1" l="1"/>
  <c r="D38" i="1"/>
  <c r="D37" i="1"/>
  <c r="D36" i="1"/>
  <c r="D35" i="1"/>
  <c r="D34" i="1"/>
  <c r="D33" i="1"/>
  <c r="E18" i="1"/>
  <c r="E19" i="1" s="1"/>
  <c r="E12" i="1"/>
  <c r="D26" i="1"/>
  <c r="E26" i="1" s="1"/>
  <c r="D25" i="1"/>
  <c r="E25" i="1" s="1"/>
  <c r="D24" i="1"/>
  <c r="E24" i="1" s="1"/>
  <c r="D23" i="1"/>
  <c r="E23" i="1" s="1"/>
  <c r="D22" i="1"/>
  <c r="D29" i="2"/>
  <c r="D28" i="2"/>
  <c r="D27" i="2"/>
  <c r="D26" i="2"/>
  <c r="D25" i="2"/>
  <c r="E22" i="1"/>
  <c r="E38" i="1"/>
  <c r="E37" i="1"/>
  <c r="E36" i="1"/>
  <c r="E35" i="1"/>
  <c r="E34" i="1"/>
  <c r="D39" i="1" l="1"/>
  <c r="E33" i="1"/>
  <c r="E39" i="1" s="1"/>
</calcChain>
</file>

<file path=xl/sharedStrings.xml><?xml version="1.0" encoding="utf-8"?>
<sst xmlns="http://schemas.openxmlformats.org/spreadsheetml/2006/main" count="100" uniqueCount="60">
  <si>
    <r>
      <rPr>
        <b/>
        <sz val="34"/>
        <color rgb="FFFFFFFF"/>
        <rFont val="Consolas"/>
      </rPr>
      <t xml:space="preserve">\($‿$)/ - </t>
    </r>
    <r>
      <rPr>
        <b/>
        <sz val="30"/>
        <color rgb="FFFFFFFF"/>
        <rFont val="Consolas"/>
      </rPr>
      <t xml:space="preserve">Invest Fácil!
</t>
    </r>
    <r>
      <rPr>
        <b/>
        <sz val="12"/>
        <color rgb="FFFFFFFF"/>
        <rFont val="Consolas"/>
      </rPr>
      <t xml:space="preserve">                                   Calculadora de FII</t>
    </r>
  </si>
  <si>
    <t>INFORMAÇÕES DO INVESTIDOR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</si>
  <si>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</si>
  <si>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</si>
  <si>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</si>
  <si>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</si>
  <si>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</si>
  <si>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</si>
  <si>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</si>
  <si>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</si>
  <si>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</si>
  <si>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</si>
  <si>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Valor Futuro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</si>
  <si>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</si>
  <si>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</si>
  <si>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</si>
  <si>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</si>
  <si>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</si>
  <si>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</si>
  <si>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 de investidor</t>
  </si>
  <si>
    <t>Conservador</t>
  </si>
  <si>
    <t>Valor investido por mês</t>
  </si>
  <si>
    <t>Categoria de FII</t>
  </si>
  <si>
    <t>Percentual Sugerido</t>
  </si>
  <si>
    <t>Valores</t>
  </si>
  <si>
    <t>Desenvolvimento</t>
  </si>
  <si>
    <t>FOFs</t>
  </si>
  <si>
    <t>Híbrido</t>
  </si>
  <si>
    <t>Hotelaria</t>
  </si>
  <si>
    <t>Papel</t>
  </si>
  <si>
    <t>Tijolo</t>
  </si>
  <si>
    <t>TOTAL</t>
  </si>
  <si>
    <t>Referência de Percentual de FII</t>
  </si>
  <si>
    <t>Chave</t>
  </si>
  <si>
    <t>Perfil</t>
  </si>
  <si>
    <t>Tipo de FII</t>
  </si>
  <si>
    <t>Percentual</t>
  </si>
  <si>
    <t>Conservador-DESENVOLVIMENTO</t>
  </si>
  <si>
    <t>Conservador-FOFs</t>
  </si>
  <si>
    <t>Conservador-HÍBRIDO</t>
  </si>
  <si>
    <t>Conservador-HOTELARIA</t>
  </si>
  <si>
    <t>Conservador-PAPEL</t>
  </si>
  <si>
    <t>Conservador-TIJOLO</t>
  </si>
  <si>
    <t>Moderado-DESENVOLVIMENTO</t>
  </si>
  <si>
    <t>Moderado</t>
  </si>
  <si>
    <t>Moderado-FOFs</t>
  </si>
  <si>
    <t>Moderado-HÍBRIDO</t>
  </si>
  <si>
    <t>Moderado-HOTELARIA</t>
  </si>
  <si>
    <t>Moderado-PAPEL</t>
  </si>
  <si>
    <t>Moderado-TIJOLO</t>
  </si>
  <si>
    <t>Agressivo-DESENVOLVIMENTO</t>
  </si>
  <si>
    <t>Agressivo</t>
  </si>
  <si>
    <t>Agressivo-FOFs</t>
  </si>
  <si>
    <t>Agressivo-HÍBRIDO</t>
  </si>
  <si>
    <t>Agressivo-HOTELARIA</t>
  </si>
  <si>
    <t>Agressivo-PAPEL</t>
  </si>
  <si>
    <t>Agressivo-TIJOLO</t>
  </si>
  <si>
    <t>Referência de Anos</t>
  </si>
  <si>
    <t>Ano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</si>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</sst>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11">
    <font>
      <sz val="11"/>
      <color theme="1"/>
      <name val="Calibri"/>
      <family val="2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theme="0"/>
      <name val="Calibri"/>
    </font>
    <font>
      <b/>
      <sz val="12"/>
      <color theme="0"/>
      <name val="Calibri"/>
    </font>
    <font>
      <b/>
      <sz val="40"/>
      <color rgb="FFFFFFFF"/>
      <name val="Consolas"/>
    </font>
    <font>
      <b/>
      <sz val="30"/>
      <color rgb="FFFFFFFF"/>
      <name val="Consolas"/>
    </font>
    <font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sz val="12"/>
      <color rgb="FFFFFFFF"/>
      <name val="Consolas"/>
    </font>
    <font>
      <b/>
      <sz val="34"/>
      <color rgb="FFFFFFFF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AF64EB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4" xfId="0" applyFont="1" applyFill="1" applyBorder="1"/>
    <xf numFmtId="9" fontId="1" fillId="0" borderId="10" xfId="0" applyNumberFormat="1" applyFont="1" applyBorder="1" applyAlignment="1"/>
    <xf numFmtId="0" fontId="7" fillId="0" borderId="7" xfId="0" applyFont="1" applyFill="1" applyBorder="1" applyAlignment="1"/>
    <xf numFmtId="0" fontId="7" fillId="0" borderId="6" xfId="0" applyFont="1" applyFill="1" applyBorder="1" applyAlignment="1"/>
    <xf numFmtId="0" fontId="7" fillId="0" borderId="8" xfId="0" applyFont="1" applyFill="1" applyBorder="1" applyAlignment="1"/>
    <xf numFmtId="0" fontId="7" fillId="0" borderId="9" xfId="0" applyFont="1" applyFill="1" applyBorder="1" applyAlignment="1"/>
    <xf numFmtId="0" fontId="7" fillId="0" borderId="1" xfId="0" applyFont="1" applyFill="1" applyBorder="1" applyAlignment="1"/>
    <xf numFmtId="0" fontId="7" fillId="0" borderId="15" xfId="0" applyFont="1" applyFill="1" applyBorder="1" applyAlignment="1"/>
    <xf numFmtId="0" fontId="7" fillId="0" borderId="16" xfId="0" applyFont="1" applyFill="1" applyBorder="1" applyAlignment="1"/>
    <xf numFmtId="0" fontId="7" fillId="0" borderId="0" xfId="0" applyFont="1"/>
    <xf numFmtId="0" fontId="8" fillId="3" borderId="18" xfId="0" applyFont="1" applyFill="1" applyBorder="1"/>
    <xf numFmtId="0" fontId="8" fillId="3" borderId="19" xfId="0" applyFont="1" applyFill="1" applyBorder="1"/>
    <xf numFmtId="0" fontId="8" fillId="3" borderId="20" xfId="0" applyFont="1" applyFill="1" applyBorder="1"/>
    <xf numFmtId="0" fontId="7" fillId="0" borderId="12" xfId="0" applyFont="1" applyBorder="1"/>
    <xf numFmtId="0" fontId="7" fillId="0" borderId="13" xfId="0" applyFont="1" applyBorder="1"/>
    <xf numFmtId="9" fontId="7" fillId="0" borderId="14" xfId="0" applyNumberFormat="1" applyFont="1" applyBorder="1"/>
    <xf numFmtId="0" fontId="7" fillId="0" borderId="9" xfId="0" applyFont="1" applyBorder="1"/>
    <xf numFmtId="0" fontId="7" fillId="0" borderId="1" xfId="0" applyFont="1" applyBorder="1"/>
    <xf numFmtId="9" fontId="7" fillId="0" borderId="10" xfId="0" applyNumberFormat="1" applyFont="1" applyBorder="1"/>
    <xf numFmtId="0" fontId="7" fillId="0" borderId="15" xfId="0" applyFont="1" applyBorder="1"/>
    <xf numFmtId="0" fontId="7" fillId="0" borderId="16" xfId="0" applyFont="1" applyBorder="1"/>
    <xf numFmtId="9" fontId="7" fillId="0" borderId="17" xfId="0" applyNumberFormat="1" applyFont="1" applyBorder="1"/>
    <xf numFmtId="0" fontId="8" fillId="3" borderId="3" xfId="0" applyFont="1" applyFill="1" applyBorder="1"/>
    <xf numFmtId="0" fontId="8" fillId="3" borderId="4" xfId="0" applyFont="1" applyFill="1" applyBorder="1"/>
    <xf numFmtId="0" fontId="8" fillId="3" borderId="5" xfId="0" applyFont="1" applyFill="1" applyBorder="1"/>
    <xf numFmtId="0" fontId="7" fillId="0" borderId="10" xfId="0" applyFont="1" applyFill="1" applyBorder="1"/>
    <xf numFmtId="0" fontId="7" fillId="0" borderId="17" xfId="0" applyFont="1" applyFill="1" applyBorder="1"/>
    <xf numFmtId="164" fontId="1" fillId="4" borderId="17" xfId="0" applyNumberFormat="1" applyFont="1" applyFill="1" applyBorder="1" applyAlignment="1"/>
    <xf numFmtId="164" fontId="1" fillId="0" borderId="14" xfId="0" applyNumberFormat="1" applyFont="1" applyFill="1" applyBorder="1" applyAlignment="1"/>
    <xf numFmtId="164" fontId="1" fillId="4" borderId="10" xfId="0" applyNumberFormat="1" applyFont="1" applyFill="1" applyBorder="1" applyAlignment="1">
      <alignment horizontal="center"/>
    </xf>
    <xf numFmtId="164" fontId="1" fillId="4" borderId="17" xfId="0" applyNumberFormat="1" applyFont="1" applyFill="1" applyBorder="1" applyAlignment="1">
      <alignment horizontal="center"/>
    </xf>
    <xf numFmtId="9" fontId="1" fillId="4" borderId="6" xfId="0" applyNumberFormat="1" applyFont="1" applyFill="1" applyBorder="1"/>
    <xf numFmtId="9" fontId="4" fillId="3" borderId="4" xfId="0" applyNumberFormat="1" applyFont="1" applyFill="1" applyBorder="1"/>
    <xf numFmtId="164" fontId="1" fillId="4" borderId="16" xfId="0" applyNumberFormat="1" applyFont="1" applyFill="1" applyBorder="1" applyAlignment="1"/>
    <xf numFmtId="8" fontId="1" fillId="4" borderId="1" xfId="0" applyNumberFormat="1" applyFont="1" applyFill="1" applyBorder="1" applyAlignment="1"/>
    <xf numFmtId="8" fontId="1" fillId="4" borderId="16" xfId="0" applyNumberFormat="1" applyFont="1" applyFill="1" applyBorder="1" applyAlignment="1"/>
    <xf numFmtId="164" fontId="4" fillId="3" borderId="5" xfId="0" applyNumberFormat="1" applyFont="1" applyFill="1" applyBorder="1" applyAlignment="1">
      <alignment horizontal="center"/>
    </xf>
    <xf numFmtId="9" fontId="1" fillId="4" borderId="26" xfId="0" applyNumberFormat="1" applyFont="1" applyFill="1" applyBorder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8" fontId="1" fillId="4" borderId="6" xfId="0" applyNumberFormat="1" applyFont="1" applyFill="1" applyBorder="1" applyAlignment="1"/>
    <xf numFmtId="164" fontId="1" fillId="4" borderId="8" xfId="0" applyNumberFormat="1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164" fontId="2" fillId="4" borderId="28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64" fontId="1" fillId="4" borderId="29" xfId="0" applyNumberFormat="1" applyFont="1" applyFill="1" applyBorder="1" applyAlignment="1">
      <alignment horizontal="center"/>
    </xf>
    <xf numFmtId="164" fontId="1" fillId="0" borderId="8" xfId="0" applyNumberFormat="1" applyFont="1" applyBorder="1" applyAlignment="1"/>
    <xf numFmtId="0" fontId="1" fillId="0" borderId="10" xfId="0" applyFont="1" applyBorder="1" applyAlignment="1"/>
    <xf numFmtId="9" fontId="1" fillId="0" borderId="17" xfId="0" applyNumberFormat="1" applyFont="1" applyBorder="1" applyAlignment="1"/>
    <xf numFmtId="164" fontId="1" fillId="4" borderId="6" xfId="0" applyNumberFormat="1" applyFont="1" applyFill="1" applyBorder="1" applyAlignment="1"/>
    <xf numFmtId="0" fontId="1" fillId="4" borderId="9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/>
    <xf numFmtId="0" fontId="1" fillId="4" borderId="6" xfId="0" applyFont="1" applyFill="1" applyBorder="1" applyAlignment="1"/>
    <xf numFmtId="0" fontId="1" fillId="4" borderId="9" xfId="0" applyFont="1" applyFill="1" applyBorder="1" applyAlignment="1"/>
    <xf numFmtId="0" fontId="1" fillId="4" borderId="1" xfId="0" applyFont="1" applyFill="1" applyBorder="1" applyAlignment="1"/>
    <xf numFmtId="0" fontId="1" fillId="4" borderId="15" xfId="0" applyFont="1" applyFill="1" applyBorder="1" applyAlignment="1"/>
    <xf numFmtId="0" fontId="1" fillId="4" borderId="16" xfId="0" applyFont="1" applyFill="1" applyBorder="1" applyAlignment="1"/>
    <xf numFmtId="0" fontId="1" fillId="4" borderId="15" xfId="0" applyFont="1" applyFill="1" applyBorder="1" applyAlignment="1">
      <alignment horizontal="left"/>
    </xf>
    <xf numFmtId="0" fontId="1" fillId="4" borderId="16" xfId="0" applyFont="1" applyFill="1" applyBorder="1" applyAlignment="1">
      <alignment horizontal="left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4" fillId="3" borderId="30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left"/>
    </xf>
    <xf numFmtId="0" fontId="1" fillId="4" borderId="13" xfId="0" applyFont="1" applyFill="1" applyBorder="1" applyAlignment="1">
      <alignment horizontal="left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F64EB"/>
      <color rgb="FFBEA0DC"/>
      <color rgb="FF8A709E"/>
      <color rgb="FF584269"/>
      <color rgb="FFA23CF0"/>
      <color rgb="FFC8B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v>Distribuição de FII</c:v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5B9BD5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80-4153-8A01-0F64B1E1CD11}"/>
              </c:ext>
            </c:extLst>
          </c:dPt>
          <c:dPt>
            <c:idx val="1"/>
            <c:bubble3D val="0"/>
            <c:spPr>
              <a:solidFill>
                <a:srgbClr val="A6A6A6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80-4153-8A01-0F64B1E1CD1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4980-4153-8A01-0F64B1E1CD11}"/>
              </c:ext>
            </c:extLst>
          </c:dPt>
          <c:dPt>
            <c:idx val="3"/>
            <c:bubble3D val="0"/>
            <c:spPr>
              <a:solidFill>
                <a:srgbClr val="2F75B5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4980-4153-8A01-0F64B1E1CD11}"/>
              </c:ext>
            </c:extLst>
          </c:dPt>
          <c:dPt>
            <c:idx val="4"/>
            <c:bubble3D val="0"/>
            <c:spPr>
              <a:solidFill>
                <a:srgbClr val="BEA0DC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80-4153-8A01-0F64B1E1CD11}"/>
              </c:ext>
            </c:extLst>
          </c:dPt>
          <c:dPt>
            <c:idx val="5"/>
            <c:bubble3D val="0"/>
            <c:spPr>
              <a:solidFill>
                <a:srgbClr val="A23CF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4980-4153-8A01-0F64B1E1CD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Resumo!$B$33:$B$38</c:f>
              <c:strCache>
                <c:ptCount val="6"/>
                <c:pt idx="0">
                  <c:v>Desenvolvimento</c:v>
                </c:pt>
                <c:pt idx="1">
                  <c:v>FOFs</c:v>
                </c:pt>
                <c:pt idx="2">
                  <c:v>Híbrido</c:v>
                </c:pt>
                <c:pt idx="3">
                  <c:v>Hotelaria</c:v>
                </c:pt>
                <c:pt idx="4">
                  <c:v>Papel</c:v>
                </c:pt>
                <c:pt idx="5">
                  <c:v>Tijolo</c:v>
                </c:pt>
              </c:strCache>
            </c:strRef>
          </c:cat>
          <c:val>
            <c:numRef>
              <c:f>Resumo!$D$33:$D$38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0.3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8A4-46A3-9952-B51C17DFE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39</xdr:row>
      <xdr:rowOff>85725</xdr:rowOff>
    </xdr:from>
    <xdr:to>
      <xdr:col>4</xdr:col>
      <xdr:colOff>828675</xdr:colOff>
      <xdr:row>53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9F1B49-63C6-8E4B-DEB4-8BE1B994A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9"/>
  <sheetViews>
    <sheetView showGridLines="0" tabSelected="1" topLeftCell="A18" workbookViewId="0">
      <selection activeCell="E29" sqref="E29"/>
    </sheetView>
  </sheetViews>
  <sheetFormatPr defaultColWidth="0" defaultRowHeight="15.75"/>
  <cols>
    <col min="1" max="1" width="5.7109375" style="1" customWidth="1"/>
    <col min="2" max="2" width="30.7109375" style="1" customWidth="1"/>
    <col min="3" max="3" width="9.140625" style="1" customWidth="1"/>
    <col min="4" max="4" width="24.5703125" style="1" bestFit="1" customWidth="1"/>
    <col min="5" max="5" width="24.85546875" style="1" customWidth="1"/>
    <col min="6" max="6" width="5.7109375" style="1" customWidth="1"/>
    <col min="7" max="16384" width="0" style="1" hidden="1"/>
  </cols>
  <sheetData>
    <row r="2" spans="2:5" ht="15.75" customHeight="1">
      <c r="B2" s="75" t="s">
        <v>0</v>
      </c>
      <c r="C2" s="76"/>
      <c r="D2" s="76"/>
      <c r="E2" s="76"/>
    </row>
    <row r="3" spans="2:5" ht="15.75" customHeight="1">
      <c r="B3" s="76"/>
      <c r="C3" s="76"/>
      <c r="D3" s="76"/>
      <c r="E3" s="76"/>
    </row>
    <row r="4" spans="2:5" ht="15.75" customHeight="1">
      <c r="B4" s="76"/>
      <c r="C4" s="76"/>
      <c r="D4" s="76"/>
      <c r="E4" s="76"/>
    </row>
    <row r="5" spans="2:5" ht="15.75" customHeight="1">
      <c r="B5" s="76"/>
      <c r="C5" s="76"/>
      <c r="D5" s="76"/>
      <c r="E5" s="76"/>
    </row>
    <row r="6" spans="2:5" ht="15.75" customHeight="1">
      <c r="B6" s="76"/>
      <c r="C6" s="76"/>
      <c r="D6" s="76"/>
      <c r="E6" s="76"/>
    </row>
    <row r="9" spans="2:5">
      <c r="B9" s="82" t="s">
        <v>1</v>
      </c>
      <c r="C9" s="83"/>
      <c r="D9" s="83"/>
      <c r="E9" s="84"/>
    </row>
    <row r="10" spans="2:5">
      <c r="B10" s="80" t="s">
        <v>2</v>
      </c>
      <c r="C10" s="81"/>
      <c r="D10" s="81"/>
      <c r="E10" s="31">
        <v>5000</v>
      </c>
    </row>
    <row r="11" spans="2:5">
      <c r="B11" s="53" t="s">
        <v>3</v>
      </c>
      <c r="C11" s="54"/>
      <c r="D11" s="54"/>
      <c r="E11" s="4">
        <v>0.01</v>
      </c>
    </row>
    <row r="12" spans="2:5">
      <c r="B12" s="73" t="s">
        <v>4</v>
      </c>
      <c r="C12" s="74"/>
      <c r="D12" s="74"/>
      <c r="E12" s="30">
        <f>E10*20%</f>
        <v>1000</v>
      </c>
    </row>
    <row r="14" spans="2:5">
      <c r="B14" s="77" t="s">
        <v>5</v>
      </c>
      <c r="C14" s="78"/>
      <c r="D14" s="78"/>
      <c r="E14" s="79"/>
    </row>
    <row r="15" spans="2:5">
      <c r="B15" s="67" t="s">
        <v>6</v>
      </c>
      <c r="C15" s="68"/>
      <c r="D15" s="68"/>
      <c r="E15" s="49">
        <v>500</v>
      </c>
    </row>
    <row r="16" spans="2:5">
      <c r="B16" s="69" t="s">
        <v>7</v>
      </c>
      <c r="C16" s="70"/>
      <c r="D16" s="70"/>
      <c r="E16" s="50">
        <v>5</v>
      </c>
    </row>
    <row r="17" spans="2:5">
      <c r="B17" s="71" t="s">
        <v>8</v>
      </c>
      <c r="C17" s="72"/>
      <c r="D17" s="72"/>
      <c r="E17" s="51">
        <v>0.01</v>
      </c>
    </row>
    <row r="18" spans="2:5">
      <c r="B18" s="67" t="s">
        <v>9</v>
      </c>
      <c r="C18" s="68"/>
      <c r="D18" s="68"/>
      <c r="E18" s="52">
        <f>FV(Taxa_rendimento_mensal,Anos*12,Investimento_mensal*-1)</f>
        <v>40834.834928204567</v>
      </c>
    </row>
    <row r="19" spans="2:5">
      <c r="B19" s="71" t="s">
        <v>10</v>
      </c>
      <c r="C19" s="72"/>
      <c r="D19" s="72"/>
      <c r="E19" s="36">
        <f>Patrimonio_Acumulado*rendimento_carteira</f>
        <v>408.34834928204566</v>
      </c>
    </row>
    <row r="21" spans="2:5">
      <c r="B21" s="57" t="s">
        <v>11</v>
      </c>
      <c r="C21" s="58"/>
      <c r="D21" s="41" t="s">
        <v>12</v>
      </c>
      <c r="E21" s="42" t="s">
        <v>13</v>
      </c>
    </row>
    <row r="22" spans="2:5">
      <c r="B22" s="65" t="s">
        <v>14</v>
      </c>
      <c r="C22" s="66"/>
      <c r="D22" s="43">
        <f>FV(Taxa_rendimento_mensal,VLOOKUP(B22,'Referencias de busca'!$B$24:$D$29,3,FALSE),Investimento_mensal*-1)</f>
        <v>13486.732426595749</v>
      </c>
      <c r="E22" s="44">
        <f>D22*rendimento_carteira</f>
        <v>134.86732426595748</v>
      </c>
    </row>
    <row r="23" spans="2:5">
      <c r="B23" s="53" t="s">
        <v>15</v>
      </c>
      <c r="C23" s="54"/>
      <c r="D23" s="37">
        <f>FV(Taxa_rendimento_mensal,VLOOKUP(B23,'Referencias de busca'!$B$24:$D$29,3,FALSE),Investimento_mensal*-1)</f>
        <v>40834.834928204567</v>
      </c>
      <c r="E23" s="32">
        <f>D23*rendimento_carteira</f>
        <v>408.34834928204566</v>
      </c>
    </row>
    <row r="24" spans="2:5">
      <c r="B24" s="53" t="s">
        <v>16</v>
      </c>
      <c r="C24" s="54"/>
      <c r="D24" s="37">
        <f>FV(Taxa_rendimento_mensal,VLOOKUP(B24,'Referencias de busca'!$B$24:$D$29,3,FALSE),Investimento_mensal*-1)</f>
        <v>115019.34472868349</v>
      </c>
      <c r="E24" s="32">
        <f>D24*rendimento_carteira</f>
        <v>1150.193447286835</v>
      </c>
    </row>
    <row r="25" spans="2:5">
      <c r="B25" s="53" t="s">
        <v>17</v>
      </c>
      <c r="C25" s="54"/>
      <c r="D25" s="37">
        <f>FV(Taxa_rendimento_mensal,VLOOKUP(B25,'Referencias de busca'!$B$24:$D$29,3,FALSE),Investimento_mensal*-1)</f>
        <v>494627.68269368151</v>
      </c>
      <c r="E25" s="32">
        <f>D25*rendimento_carteira</f>
        <v>4946.2768269368153</v>
      </c>
    </row>
    <row r="26" spans="2:5">
      <c r="B26" s="73" t="s">
        <v>18</v>
      </c>
      <c r="C26" s="74"/>
      <c r="D26" s="38">
        <f>FV(Taxa_rendimento_mensal,VLOOKUP(B26,'Referencias de busca'!$B$24:$D$29,3,FALSE),Investimento_mensal*-1)</f>
        <v>1747482.0663842531</v>
      </c>
      <c r="E26" s="33">
        <f>D26*rendimento_carteira</f>
        <v>17474.820663842533</v>
      </c>
    </row>
    <row r="29" spans="2:5">
      <c r="B29" s="59" t="s">
        <v>19</v>
      </c>
      <c r="C29" s="60"/>
      <c r="D29" s="61"/>
      <c r="E29" s="45" t="s">
        <v>20</v>
      </c>
    </row>
    <row r="30" spans="2:5">
      <c r="B30" s="62" t="s">
        <v>21</v>
      </c>
      <c r="C30" s="63"/>
      <c r="D30" s="64"/>
      <c r="E30" s="46">
        <f>Investimento_mensal</f>
        <v>500</v>
      </c>
    </row>
    <row r="32" spans="2:5">
      <c r="B32" s="57" t="s">
        <v>22</v>
      </c>
      <c r="C32" s="58"/>
      <c r="D32" s="3" t="s">
        <v>23</v>
      </c>
      <c r="E32" s="47" t="s">
        <v>24</v>
      </c>
    </row>
    <row r="33" spans="1:5">
      <c r="A33" s="2"/>
      <c r="B33" s="65" t="s">
        <v>25</v>
      </c>
      <c r="C33" s="66"/>
      <c r="D33" s="34">
        <f>VLOOKUP(_xlfn.CONCAT(Perfil_Investidor,"-",B33),'Referencias de busca'!$B$4:$E$21,4,FALSE)</f>
        <v>0</v>
      </c>
      <c r="E33" s="44">
        <f>D33*$E$30</f>
        <v>0</v>
      </c>
    </row>
    <row r="34" spans="1:5">
      <c r="A34" s="2"/>
      <c r="B34" s="53" t="s">
        <v>26</v>
      </c>
      <c r="C34" s="54"/>
      <c r="D34" s="34">
        <f>VLOOKUP(_xlfn.CONCAT(Perfil_Investidor,"-",B34),'Referencias de busca'!$B$4:$E$21,4,FALSE)</f>
        <v>0.1</v>
      </c>
      <c r="E34" s="32">
        <f>D34*$E$30</f>
        <v>50</v>
      </c>
    </row>
    <row r="35" spans="1:5">
      <c r="A35" s="2"/>
      <c r="B35" s="53" t="s">
        <v>27</v>
      </c>
      <c r="C35" s="54"/>
      <c r="D35" s="34">
        <f>VLOOKUP(_xlfn.CONCAT(Perfil_Investidor,"-",B35),'Referencias de busca'!$B$4:$E$21,4,FALSE)</f>
        <v>0.1</v>
      </c>
      <c r="E35" s="32">
        <f>D35*$E$30</f>
        <v>50</v>
      </c>
    </row>
    <row r="36" spans="1:5">
      <c r="A36" s="2"/>
      <c r="B36" s="53" t="s">
        <v>28</v>
      </c>
      <c r="C36" s="54"/>
      <c r="D36" s="34">
        <f>VLOOKUP(_xlfn.CONCAT(Perfil_Investidor,"-",B36),'Referencias de busca'!$B$4:$E$21,4,FALSE)</f>
        <v>0</v>
      </c>
      <c r="E36" s="32">
        <f>D36*$E$30</f>
        <v>0</v>
      </c>
    </row>
    <row r="37" spans="1:5">
      <c r="A37" s="2"/>
      <c r="B37" s="53" t="s">
        <v>29</v>
      </c>
      <c r="C37" s="54"/>
      <c r="D37" s="34">
        <f>VLOOKUP(_xlfn.CONCAT(Perfil_Investidor,"-",B37),'Referencias de busca'!$B$4:$E$21,4,FALSE)</f>
        <v>0.3</v>
      </c>
      <c r="E37" s="32">
        <f>D37*$E$30</f>
        <v>150</v>
      </c>
    </row>
    <row r="38" spans="1:5">
      <c r="A38" s="2"/>
      <c r="B38" s="55" t="s">
        <v>30</v>
      </c>
      <c r="C38" s="56"/>
      <c r="D38" s="40">
        <f>VLOOKUP(_xlfn.CONCAT(Perfil_Investidor,"-",B38),'Referencias de busca'!$B$4:$E$21,4,FALSE)</f>
        <v>0.5</v>
      </c>
      <c r="E38" s="48">
        <f>D38*$E$30</f>
        <v>250</v>
      </c>
    </row>
    <row r="39" spans="1:5">
      <c r="B39" s="57" t="s">
        <v>31</v>
      </c>
      <c r="C39" s="58"/>
      <c r="D39" s="35">
        <f>SUM(D33:D38)</f>
        <v>1</v>
      </c>
      <c r="E39" s="39">
        <f>SUM(E33:E38)</f>
        <v>500</v>
      </c>
    </row>
  </sheetData>
  <sheetProtection sheet="1" objects="1" scenarios="1"/>
  <protectedRanges>
    <protectedRange sqref="E10:E11" name="InformacoesInvestidor"/>
    <protectedRange sqref="E15:E17" name="InvestimentoMensal"/>
    <protectedRange sqref="E29" name="PerfilInvestidor"/>
  </protectedRanges>
  <sortState xmlns:xlrd2="http://schemas.microsoft.com/office/spreadsheetml/2017/richdata2" ref="B33:B38">
    <sortCondition ref="B33:B38"/>
  </sortState>
  <mergeCells count="27">
    <mergeCell ref="B2:E6"/>
    <mergeCell ref="B14:E14"/>
    <mergeCell ref="B10:D10"/>
    <mergeCell ref="B11:D11"/>
    <mergeCell ref="B12:D12"/>
    <mergeCell ref="B9:E9"/>
    <mergeCell ref="B15:D15"/>
    <mergeCell ref="B16:D16"/>
    <mergeCell ref="B17:D17"/>
    <mergeCell ref="B18:D18"/>
    <mergeCell ref="B36:C36"/>
    <mergeCell ref="B21:C21"/>
    <mergeCell ref="B22:C22"/>
    <mergeCell ref="B23:C23"/>
    <mergeCell ref="B24:C24"/>
    <mergeCell ref="B25:C25"/>
    <mergeCell ref="B26:C26"/>
    <mergeCell ref="B19:D19"/>
    <mergeCell ref="B37:C37"/>
    <mergeCell ref="B38:C38"/>
    <mergeCell ref="B39:C39"/>
    <mergeCell ref="B29:D29"/>
    <mergeCell ref="B30:D30"/>
    <mergeCell ref="B32:C32"/>
    <mergeCell ref="B33:C33"/>
    <mergeCell ref="B34:C34"/>
    <mergeCell ref="B35:C35"/>
  </mergeCells>
  <dataValidations count="1">
    <dataValidation type="list" allowBlank="1" showInputMessage="1" showErrorMessage="1" prompt="Selecione um perfil" sqref="E29" xr:uid="{A5C5C41D-5F09-4C2D-8A01-C19F2171058F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D5F4-F890-472E-B90E-349A5B977BF2}">
  <dimension ref="B2:E29"/>
  <sheetViews>
    <sheetView showGridLines="0" workbookViewId="0"/>
  </sheetViews>
  <sheetFormatPr defaultRowHeight="15.75"/>
  <cols>
    <col min="1" max="1" width="9.140625" style="12"/>
    <col min="2" max="2" width="33.140625" style="12" bestFit="1" customWidth="1"/>
    <col min="3" max="3" width="12.85546875" style="12" bestFit="1" customWidth="1"/>
    <col min="4" max="4" width="20.42578125" style="12" bestFit="1" customWidth="1"/>
    <col min="5" max="5" width="11.42578125" style="12" bestFit="1" customWidth="1"/>
    <col min="6" max="16384" width="9.140625" style="12"/>
  </cols>
  <sheetData>
    <row r="2" spans="2:5">
      <c r="B2" s="12" t="s">
        <v>32</v>
      </c>
    </row>
    <row r="3" spans="2:5">
      <c r="B3" s="13" t="s">
        <v>33</v>
      </c>
      <c r="C3" s="14" t="s">
        <v>34</v>
      </c>
      <c r="D3" s="14" t="s">
        <v>35</v>
      </c>
      <c r="E3" s="15" t="s">
        <v>36</v>
      </c>
    </row>
    <row r="4" spans="2:5">
      <c r="B4" s="16" t="s">
        <v>37</v>
      </c>
      <c r="C4" s="17" t="s">
        <v>20</v>
      </c>
      <c r="D4" s="17" t="s">
        <v>25</v>
      </c>
      <c r="E4" s="18">
        <v>0</v>
      </c>
    </row>
    <row r="5" spans="2:5">
      <c r="B5" s="19" t="s">
        <v>38</v>
      </c>
      <c r="C5" s="20" t="s">
        <v>20</v>
      </c>
      <c r="D5" s="20" t="s">
        <v>26</v>
      </c>
      <c r="E5" s="21">
        <v>0.1</v>
      </c>
    </row>
    <row r="6" spans="2:5">
      <c r="B6" s="19" t="s">
        <v>39</v>
      </c>
      <c r="C6" s="20" t="s">
        <v>20</v>
      </c>
      <c r="D6" s="20" t="s">
        <v>27</v>
      </c>
      <c r="E6" s="21">
        <v>0.1</v>
      </c>
    </row>
    <row r="7" spans="2:5">
      <c r="B7" s="19" t="s">
        <v>40</v>
      </c>
      <c r="C7" s="20" t="s">
        <v>20</v>
      </c>
      <c r="D7" s="20" t="s">
        <v>28</v>
      </c>
      <c r="E7" s="21">
        <v>0</v>
      </c>
    </row>
    <row r="8" spans="2:5">
      <c r="B8" s="19" t="s">
        <v>41</v>
      </c>
      <c r="C8" s="20" t="s">
        <v>20</v>
      </c>
      <c r="D8" s="20" t="s">
        <v>29</v>
      </c>
      <c r="E8" s="21">
        <v>0.3</v>
      </c>
    </row>
    <row r="9" spans="2:5">
      <c r="B9" s="19" t="s">
        <v>42</v>
      </c>
      <c r="C9" s="20" t="s">
        <v>20</v>
      </c>
      <c r="D9" s="20" t="s">
        <v>30</v>
      </c>
      <c r="E9" s="21">
        <v>0.5</v>
      </c>
    </row>
    <row r="10" spans="2:5">
      <c r="B10" s="19" t="s">
        <v>43</v>
      </c>
      <c r="C10" s="20" t="s">
        <v>44</v>
      </c>
      <c r="D10" s="17" t="s">
        <v>25</v>
      </c>
      <c r="E10" s="21">
        <v>0</v>
      </c>
    </row>
    <row r="11" spans="2:5">
      <c r="B11" s="19" t="s">
        <v>45</v>
      </c>
      <c r="C11" s="20" t="s">
        <v>44</v>
      </c>
      <c r="D11" s="20" t="s">
        <v>26</v>
      </c>
      <c r="E11" s="21">
        <v>0.1</v>
      </c>
    </row>
    <row r="12" spans="2:5">
      <c r="B12" s="19" t="s">
        <v>46</v>
      </c>
      <c r="C12" s="20" t="s">
        <v>44</v>
      </c>
      <c r="D12" s="20" t="s">
        <v>27</v>
      </c>
      <c r="E12" s="21">
        <v>0.1</v>
      </c>
    </row>
    <row r="13" spans="2:5">
      <c r="B13" s="19" t="s">
        <v>47</v>
      </c>
      <c r="C13" s="20" t="s">
        <v>44</v>
      </c>
      <c r="D13" s="20" t="s">
        <v>28</v>
      </c>
      <c r="E13" s="21">
        <v>0.05</v>
      </c>
    </row>
    <row r="14" spans="2:5">
      <c r="B14" s="19" t="s">
        <v>48</v>
      </c>
      <c r="C14" s="20" t="s">
        <v>44</v>
      </c>
      <c r="D14" s="20" t="s">
        <v>29</v>
      </c>
      <c r="E14" s="21">
        <v>0.35</v>
      </c>
    </row>
    <row r="15" spans="2:5">
      <c r="B15" s="19" t="s">
        <v>49</v>
      </c>
      <c r="C15" s="20" t="s">
        <v>44</v>
      </c>
      <c r="D15" s="20" t="s">
        <v>30</v>
      </c>
      <c r="E15" s="21">
        <v>0.4</v>
      </c>
    </row>
    <row r="16" spans="2:5">
      <c r="B16" s="19" t="s">
        <v>50</v>
      </c>
      <c r="C16" s="20" t="s">
        <v>51</v>
      </c>
      <c r="D16" s="17" t="s">
        <v>25</v>
      </c>
      <c r="E16" s="21">
        <v>0.1</v>
      </c>
    </row>
    <row r="17" spans="2:5">
      <c r="B17" s="19" t="s">
        <v>52</v>
      </c>
      <c r="C17" s="20" t="s">
        <v>51</v>
      </c>
      <c r="D17" s="20" t="s">
        <v>26</v>
      </c>
      <c r="E17" s="21">
        <v>0.2</v>
      </c>
    </row>
    <row r="18" spans="2:5">
      <c r="B18" s="19" t="s">
        <v>53</v>
      </c>
      <c r="C18" s="20" t="s">
        <v>51</v>
      </c>
      <c r="D18" s="20" t="s">
        <v>27</v>
      </c>
      <c r="E18" s="21">
        <v>0.2</v>
      </c>
    </row>
    <row r="19" spans="2:5">
      <c r="B19" s="19" t="s">
        <v>54</v>
      </c>
      <c r="C19" s="20" t="s">
        <v>51</v>
      </c>
      <c r="D19" s="20" t="s">
        <v>28</v>
      </c>
      <c r="E19" s="21">
        <v>0.2</v>
      </c>
    </row>
    <row r="20" spans="2:5">
      <c r="B20" s="19" t="s">
        <v>55</v>
      </c>
      <c r="C20" s="20" t="s">
        <v>51</v>
      </c>
      <c r="D20" s="20" t="s">
        <v>29</v>
      </c>
      <c r="E20" s="21">
        <v>0.2</v>
      </c>
    </row>
    <row r="21" spans="2:5">
      <c r="B21" s="22" t="s">
        <v>56</v>
      </c>
      <c r="C21" s="23" t="s">
        <v>51</v>
      </c>
      <c r="D21" s="23" t="s">
        <v>30</v>
      </c>
      <c r="E21" s="24">
        <v>0.1</v>
      </c>
    </row>
    <row r="23" spans="2:5">
      <c r="B23" s="12" t="s">
        <v>57</v>
      </c>
    </row>
    <row r="24" spans="2:5">
      <c r="B24" s="25" t="s">
        <v>33</v>
      </c>
      <c r="C24" s="26" t="s">
        <v>58</v>
      </c>
      <c r="D24" s="27" t="s">
        <v>59</v>
      </c>
    </row>
    <row r="25" spans="2:5">
      <c r="B25" s="5" t="s">
        <v>14</v>
      </c>
      <c r="C25" s="6">
        <v>2</v>
      </c>
      <c r="D25" s="7">
        <f>C25*12</f>
        <v>24</v>
      </c>
    </row>
    <row r="26" spans="2:5">
      <c r="B26" s="8" t="s">
        <v>15</v>
      </c>
      <c r="C26" s="9">
        <v>5</v>
      </c>
      <c r="D26" s="28">
        <f t="shared" ref="D26:D29" si="0">C26*12</f>
        <v>60</v>
      </c>
    </row>
    <row r="27" spans="2:5">
      <c r="B27" s="8" t="s">
        <v>16</v>
      </c>
      <c r="C27" s="9">
        <v>10</v>
      </c>
      <c r="D27" s="28">
        <f t="shared" si="0"/>
        <v>120</v>
      </c>
    </row>
    <row r="28" spans="2:5">
      <c r="B28" s="8" t="s">
        <v>17</v>
      </c>
      <c r="C28" s="9">
        <v>20</v>
      </c>
      <c r="D28" s="28">
        <f t="shared" si="0"/>
        <v>240</v>
      </c>
    </row>
    <row r="29" spans="2:5">
      <c r="B29" s="10" t="s">
        <v>18</v>
      </c>
      <c r="C29" s="11">
        <v>30</v>
      </c>
      <c r="D29" s="29">
        <f t="shared" si="0"/>
        <v>360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2026-08-28T18:30:00Z</dcterms:created>
  <dcterms:modified xsi:type="dcterms:W3CDTF">2026-08-29T05:21:18Z</dcterms:modified>
  <cp:category/>
  <cp:contentStatus/>
</cp:coreProperties>
</file>